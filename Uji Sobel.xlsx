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28110724 (Kursus SmartPLS)\"/>
    </mc:Choice>
  </mc:AlternateContent>
  <xr:revisionPtr revIDLastSave="0" documentId="13_ncr:1_{4683370E-E747-4949-B23F-387EE01A3BE7}" xr6:coauthVersionLast="47" xr6:coauthVersionMax="47" xr10:uidLastSave="{00000000-0000-0000-0000-000000000000}"/>
  <bookViews>
    <workbookView xWindow="-110" yWindow="-110" windowWidth="19420" windowHeight="10300" activeTab="1" xr2:uid="{39E70071-7788-4F1F-8597-D6FFFB39611E}"/>
  </bookViews>
  <sheets>
    <sheet name="With Control Variables" sheetId="1" r:id="rId1"/>
    <sheet name="Without Control 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5" i="2"/>
  <c r="G4" i="2"/>
  <c r="G3" i="2"/>
  <c r="G2" i="2"/>
  <c r="G3" i="1"/>
  <c r="G4" i="1"/>
  <c r="G5" i="1"/>
  <c r="G6" i="1"/>
  <c r="G7" i="1"/>
  <c r="G8" i="1"/>
  <c r="G9" i="1"/>
  <c r="G10" i="1"/>
  <c r="G11" i="1"/>
  <c r="G12" i="1"/>
  <c r="G2" i="1"/>
  <c r="B17" i="2"/>
  <c r="B14" i="2"/>
  <c r="B11" i="2"/>
  <c r="H2" i="2"/>
  <c r="B16" i="2" s="1"/>
  <c r="D16" i="2" s="1"/>
  <c r="H7" i="2"/>
  <c r="H6" i="2"/>
  <c r="H5" i="2"/>
  <c r="H4" i="2"/>
  <c r="H3" i="2"/>
  <c r="H2" i="1"/>
  <c r="B22" i="1"/>
  <c r="B19" i="1"/>
  <c r="B16" i="1"/>
  <c r="B15" i="1"/>
  <c r="D15" i="1" s="1"/>
  <c r="H3" i="1"/>
  <c r="B18" i="1" s="1"/>
  <c r="D18" i="1" s="1"/>
  <c r="H4" i="1"/>
  <c r="H5" i="1"/>
  <c r="H6" i="1"/>
  <c r="B21" i="1" s="1"/>
  <c r="D21" i="1" s="1"/>
  <c r="H7" i="1"/>
  <c r="H8" i="1"/>
  <c r="H9" i="1"/>
  <c r="H10" i="1"/>
  <c r="H11" i="1"/>
  <c r="H12" i="1"/>
  <c r="B10" i="2" l="1"/>
  <c r="D10" i="2" s="1"/>
  <c r="B13" i="2"/>
  <c r="D13" i="2" s="1"/>
</calcChain>
</file>

<file path=xl/sharedStrings.xml><?xml version="1.0" encoding="utf-8"?>
<sst xmlns="http://schemas.openxmlformats.org/spreadsheetml/2006/main" count="57" uniqueCount="25">
  <si>
    <t/>
  </si>
  <si>
    <t>Original Sample (O)</t>
  </si>
  <si>
    <t>Sample Mean (M)</t>
  </si>
  <si>
    <t>Standard Deviation (STDEV)</t>
  </si>
  <si>
    <t>T Statistics (|O/STDEV|)</t>
  </si>
  <si>
    <t>P Values</t>
  </si>
  <si>
    <t>CA -&gt; FV</t>
  </si>
  <si>
    <t>CSR -&gt; CA</t>
  </si>
  <si>
    <t>CSR -&gt; FV</t>
  </si>
  <si>
    <t>CSR -&gt; GI</t>
  </si>
  <si>
    <t>GI -&gt; CA</t>
  </si>
  <si>
    <t>GI -&gt; FV</t>
  </si>
  <si>
    <t>Growth -&gt; FV</t>
  </si>
  <si>
    <t>Leverage -&gt; FV</t>
  </si>
  <si>
    <t>ROA -&gt; FV</t>
  </si>
  <si>
    <t>ROE -&gt; FV</t>
  </si>
  <si>
    <t>Size -&gt; FV</t>
  </si>
  <si>
    <t>Standar Error</t>
  </si>
  <si>
    <t>CSR -&gt; GI -&gt; FV</t>
  </si>
  <si>
    <t>CSR -&gt; CA -&gt; FV</t>
  </si>
  <si>
    <t>GI -&gt; CA -&gt; FV</t>
  </si>
  <si>
    <t>t hitung</t>
  </si>
  <si>
    <t>t tabel</t>
  </si>
  <si>
    <t>Kesimpulan</t>
  </si>
  <si>
    <t>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</si>
</sst>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8B18-514D-474B-BFAE-25C93E6AE25D}">
  <dimension ref="A1:H22"/>
  <sheetViews>
    <sheetView topLeftCell="A10" workbookViewId="0">
      <selection activeCell="B21" sqref="B21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  <c r="H1" s="2" t="s">
        <v>17</v>
      </c>
    </row>
    <row r="2" spans="1:8" x14ac:dyDescent="0.35">
      <c r="A2" s="2" t="s">
        <v>6</v>
      </c>
      <c r="B2" s="3">
        <v>-3.6225641722880514E-3</v>
      </c>
      <c r="C2" s="3">
        <v>-8.4052565838081174E-4</v>
      </c>
      <c r="D2" s="3">
        <v>1.5578139920596279E-2</v>
      </c>
      <c r="E2" s="3">
        <v>0.23254150949681493</v>
      </c>
      <c r="F2" s="4">
        <v>0.81621260139473861</v>
      </c>
      <c r="G2" s="4" t="str">
        <f>IF(F2&lt;0.01,"***",IF(F2&lt;0.05,"**",IF(F2&lt;0.1,"*","Not Significant")))</f>
        <v>Not Significant</v>
      </c>
      <c r="H2" s="12">
        <f>D2/SQRT(889)</f>
        <v>5.224740437745043E-4</v>
      </c>
    </row>
    <row r="3" spans="1:8" x14ac:dyDescent="0.35">
      <c r="A3" s="2" t="s">
        <v>7</v>
      </c>
      <c r="B3" s="5">
        <v>2.3444897985297274E-2</v>
      </c>
      <c r="C3" s="5">
        <v>2.4827990544518612E-2</v>
      </c>
      <c r="D3" s="5">
        <v>2.8602032189277378E-2</v>
      </c>
      <c r="E3" s="5">
        <v>0.81969343402412287</v>
      </c>
      <c r="F3" s="6">
        <v>0.41278136421857425</v>
      </c>
      <c r="G3" s="4" t="str">
        <f t="shared" ref="G3:G12" si="0">IF(F3&lt;0.01,"***",IF(F3&lt;0.05,"**",IF(F3&lt;0.1,"*","Not Significant")))</f>
        <v>Not Significant</v>
      </c>
      <c r="H3" s="12">
        <f t="shared" ref="H3:H12" si="1">D3/SQRT(889)</f>
        <v>9.5928137083572235E-4</v>
      </c>
    </row>
    <row r="4" spans="1:8" x14ac:dyDescent="0.35">
      <c r="A4" s="2" t="s">
        <v>8</v>
      </c>
      <c r="B4" s="3">
        <v>-2.1771858358564929E-2</v>
      </c>
      <c r="C4" s="3">
        <v>-2.1422775190466207E-2</v>
      </c>
      <c r="D4" s="3">
        <v>3.6058569039383266E-2</v>
      </c>
      <c r="E4" s="3">
        <v>0.60379152413912063</v>
      </c>
      <c r="F4" s="4">
        <v>0.5462560546695272</v>
      </c>
      <c r="G4" s="4" t="str">
        <f t="shared" si="0"/>
        <v>Not Significant</v>
      </c>
      <c r="H4" s="12">
        <f t="shared" si="1"/>
        <v>1.2093655901639635E-3</v>
      </c>
    </row>
    <row r="5" spans="1:8" x14ac:dyDescent="0.35">
      <c r="A5" s="2" t="s">
        <v>9</v>
      </c>
      <c r="B5" s="5">
        <v>0.26523515683121668</v>
      </c>
      <c r="C5" s="5">
        <v>0.2644141619479628</v>
      </c>
      <c r="D5" s="5">
        <v>3.1994352798398178E-2</v>
      </c>
      <c r="E5" s="5">
        <v>8.2900616400184184</v>
      </c>
      <c r="F5" s="7">
        <v>5.6843418860808015E-14</v>
      </c>
      <c r="G5" s="4" t="str">
        <f t="shared" si="0"/>
        <v>***</v>
      </c>
      <c r="H5" s="12">
        <f t="shared" si="1"/>
        <v>1.073056152386092E-3</v>
      </c>
    </row>
    <row r="6" spans="1:8" x14ac:dyDescent="0.35">
      <c r="A6" s="2" t="s">
        <v>10</v>
      </c>
      <c r="B6" s="3">
        <v>4.121467943396636E-2</v>
      </c>
      <c r="C6" s="3">
        <v>3.876016388846118E-2</v>
      </c>
      <c r="D6" s="3">
        <v>3.8308418228742959E-2</v>
      </c>
      <c r="E6" s="3">
        <v>1.0758648187421851</v>
      </c>
      <c r="F6" s="4">
        <v>0.2825065405382361</v>
      </c>
      <c r="G6" s="4" t="str">
        <f t="shared" si="0"/>
        <v>Not Significant</v>
      </c>
      <c r="H6" s="12">
        <f t="shared" si="1"/>
        <v>1.2848231101143014E-3</v>
      </c>
    </row>
    <row r="7" spans="1:8" x14ac:dyDescent="0.35">
      <c r="A7" s="2" t="s">
        <v>11</v>
      </c>
      <c r="B7" s="5">
        <v>-6.4026693861710107E-3</v>
      </c>
      <c r="C7" s="5">
        <v>-4.5405715337788841E-3</v>
      </c>
      <c r="D7" s="5">
        <v>3.6394356213437659E-2</v>
      </c>
      <c r="E7" s="5">
        <v>0.17592478758580138</v>
      </c>
      <c r="F7" s="6">
        <v>0.86042425510703424</v>
      </c>
      <c r="G7" s="4" t="str">
        <f t="shared" si="0"/>
        <v>Not Significant</v>
      </c>
      <c r="H7" s="12">
        <f t="shared" si="1"/>
        <v>1.2206275305220583E-3</v>
      </c>
    </row>
    <row r="8" spans="1:8" x14ac:dyDescent="0.35">
      <c r="A8" s="2" t="s">
        <v>12</v>
      </c>
      <c r="B8" s="3">
        <v>-5.7005041675220252E-3</v>
      </c>
      <c r="C8" s="3">
        <v>-9.6590938740206515E-3</v>
      </c>
      <c r="D8" s="3">
        <v>1.3790383351512758E-2</v>
      </c>
      <c r="E8" s="3">
        <v>0.41336807122890457</v>
      </c>
      <c r="F8" s="4">
        <v>0.67951418139438147</v>
      </c>
      <c r="G8" s="4" t="str">
        <f t="shared" si="0"/>
        <v>Not Significant</v>
      </c>
      <c r="H8" s="12">
        <f t="shared" si="1"/>
        <v>4.6251461288644556E-4</v>
      </c>
    </row>
    <row r="9" spans="1:8" x14ac:dyDescent="0.35">
      <c r="A9" s="2" t="s">
        <v>13</v>
      </c>
      <c r="B9" s="5">
        <v>0.15812255434999173</v>
      </c>
      <c r="C9" s="5">
        <v>0.142494416314001</v>
      </c>
      <c r="D9" s="5">
        <v>0.16122848055921873</v>
      </c>
      <c r="E9" s="5">
        <v>0.98073587124027872</v>
      </c>
      <c r="F9" s="6">
        <v>0.32719713261604966</v>
      </c>
      <c r="G9" s="4" t="str">
        <f t="shared" si="0"/>
        <v>Not Significant</v>
      </c>
      <c r="H9" s="12">
        <f t="shared" si="1"/>
        <v>5.4074296827967975E-3</v>
      </c>
    </row>
    <row r="10" spans="1:8" x14ac:dyDescent="0.35">
      <c r="A10" s="2" t="s">
        <v>14</v>
      </c>
      <c r="B10" s="3">
        <v>3.1701422511203274E-2</v>
      </c>
      <c r="C10" s="3">
        <v>3.7228683735342986E-2</v>
      </c>
      <c r="D10" s="3">
        <v>2.0425211898075047E-2</v>
      </c>
      <c r="E10" s="3">
        <v>1.5520731275346495</v>
      </c>
      <c r="F10" s="4">
        <v>0.12127744130754081</v>
      </c>
      <c r="G10" s="4" t="str">
        <f t="shared" si="0"/>
        <v>Not Significant</v>
      </c>
      <c r="H10" s="12">
        <f t="shared" si="1"/>
        <v>6.8503962024561867E-4</v>
      </c>
    </row>
    <row r="11" spans="1:8" x14ac:dyDescent="0.35">
      <c r="A11" s="2" t="s">
        <v>15</v>
      </c>
      <c r="B11" s="5">
        <v>0.20104065045083461</v>
      </c>
      <c r="C11" s="5">
        <v>0.19338899349475105</v>
      </c>
      <c r="D11" s="5">
        <v>0.170341285296918</v>
      </c>
      <c r="E11" s="5">
        <v>1.1802226929332207</v>
      </c>
      <c r="F11" s="6">
        <v>0.23847279613488581</v>
      </c>
      <c r="G11" s="4" t="str">
        <f t="shared" si="0"/>
        <v>Not Significant</v>
      </c>
      <c r="H11" s="12">
        <f t="shared" si="1"/>
        <v>5.7130633441775302E-3</v>
      </c>
    </row>
    <row r="12" spans="1:8" x14ac:dyDescent="0.35">
      <c r="A12" s="2" t="s">
        <v>16</v>
      </c>
      <c r="B12" s="3">
        <v>-8.0938610680421533E-2</v>
      </c>
      <c r="C12" s="3">
        <v>-8.1196584841947722E-2</v>
      </c>
      <c r="D12" s="3">
        <v>3.8914246970161402E-2</v>
      </c>
      <c r="E12" s="3">
        <v>2.0799223159189872</v>
      </c>
      <c r="F12" s="8">
        <v>3.8041475499028365E-2</v>
      </c>
      <c r="G12" s="4" t="str">
        <f t="shared" si="0"/>
        <v>**</v>
      </c>
      <c r="H12" s="12">
        <f t="shared" si="1"/>
        <v>1.3051419539542657E-3</v>
      </c>
    </row>
    <row r="14" spans="1:8" x14ac:dyDescent="0.35">
      <c r="A14" s="10" t="s">
        <v>18</v>
      </c>
    </row>
    <row r="15" spans="1:8" x14ac:dyDescent="0.35">
      <c r="A15" s="10" t="s">
        <v>21</v>
      </c>
      <c r="B15">
        <f>(B5*B7)/(SQRT(((B7^2)*(H5^2))+((B5^2)*(H7^2))))</f>
        <v>-5.2442108918068655</v>
      </c>
      <c r="C15" t="s">
        <v>23</v>
      </c>
      <c r="D15" t="str">
        <f>IF(ABS(B15)&lt;B16,"Gagal Intervernsi","Sukses Intervensi")</f>
        <v>Sukses Intervensi</v>
      </c>
    </row>
    <row r="16" spans="1:8" x14ac:dyDescent="0.35">
      <c r="A16" t="s">
        <v>22</v>
      </c>
      <c r="B16">
        <f>TINV(0.05,(889-9))</f>
        <v>1.9626633958103448</v>
      </c>
    </row>
    <row r="17" spans="1:4" x14ac:dyDescent="0.35">
      <c r="A17" t="s">
        <v>19</v>
      </c>
    </row>
    <row r="18" spans="1:4" x14ac:dyDescent="0.35">
      <c r="A18" t="s">
        <v>21</v>
      </c>
      <c r="B18">
        <f>(B3*B3)/(SQRT(((B3^2)*(H3^2))+((B3^2)*(H3^2))))</f>
        <v>17.281734904523159</v>
      </c>
      <c r="C18" t="s">
        <v>23</v>
      </c>
      <c r="D18" t="str">
        <f>IF(ABS(B18)&lt;B19,"Gagal Intervernsi","Sukses Intervensi")</f>
        <v>Sukses Intervensi</v>
      </c>
    </row>
    <row r="19" spans="1:4" x14ac:dyDescent="0.35">
      <c r="A19" t="s">
        <v>22</v>
      </c>
      <c r="B19">
        <f>TINV(0.05,(889-9))</f>
        <v>1.9626633958103448</v>
      </c>
    </row>
    <row r="20" spans="1:4" x14ac:dyDescent="0.35">
      <c r="A20" t="s">
        <v>20</v>
      </c>
    </row>
    <row r="21" spans="1:4" x14ac:dyDescent="0.35">
      <c r="A21" t="s">
        <v>21</v>
      </c>
      <c r="B21">
        <f>(B6*B2)/(SQRT(((B2^2)*(H6^2))+((B6^2)*(H2^2))))</f>
        <v>-6.7769844944981532</v>
      </c>
      <c r="C21" t="s">
        <v>23</v>
      </c>
      <c r="D21" t="str">
        <f>IF(ABS(B21)&lt;B22,"Gagal Intervernsi","Sukses Intervensi")</f>
        <v>Sukses Intervensi</v>
      </c>
    </row>
    <row r="22" spans="1:4" x14ac:dyDescent="0.35">
      <c r="A22" t="s">
        <v>22</v>
      </c>
      <c r="B22">
        <f>TINV(0.05,(889-9))</f>
        <v>1.9626633958103448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3D24-B722-4A97-829B-20F069421B0C}">
  <dimension ref="A1:H17"/>
  <sheetViews>
    <sheetView tabSelected="1" topLeftCell="A2" workbookViewId="0">
      <selection activeCell="B16" sqref="B16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24</v>
      </c>
      <c r="H1" s="9" t="s">
        <v>17</v>
      </c>
    </row>
    <row r="2" spans="1:8" x14ac:dyDescent="0.35">
      <c r="A2" s="2" t="s">
        <v>6</v>
      </c>
      <c r="B2" s="3">
        <v>3.7447109384494809E-3</v>
      </c>
      <c r="C2" s="3">
        <v>6.4741144472883301E-3</v>
      </c>
      <c r="D2" s="3">
        <v>1.3097370300014536E-2</v>
      </c>
      <c r="E2" s="3">
        <v>0.28591319117283603</v>
      </c>
      <c r="F2" s="4">
        <v>0.77506302036982788</v>
      </c>
      <c r="G2" s="11" t="str">
        <f>IF(F2&lt;0.01,"***",IF(F2&lt;0.05,"**",IF(F2&lt;0.1,"*","Not Significant")))</f>
        <v>Not Significant</v>
      </c>
      <c r="H2">
        <f>D2/SQRT(889)</f>
        <v>4.3927170113636769E-4</v>
      </c>
    </row>
    <row r="3" spans="1:8" x14ac:dyDescent="0.35">
      <c r="A3" s="2" t="s">
        <v>7</v>
      </c>
      <c r="B3" s="5">
        <v>2.3444897985297274E-2</v>
      </c>
      <c r="C3" s="5">
        <v>2.3979311844656456E-2</v>
      </c>
      <c r="D3" s="5">
        <v>2.8242859119674391E-2</v>
      </c>
      <c r="E3" s="5">
        <v>0.83011772589855159</v>
      </c>
      <c r="F3" s="6">
        <v>0.40686830405724095</v>
      </c>
      <c r="G3" s="11" t="str">
        <f t="shared" ref="G3:G7" si="0">IF(F3&lt;0.01,"***",IF(F3&lt;0.05,"**",IF(F3&lt;0.1,"*","Not Significant")))</f>
        <v>Not Significant</v>
      </c>
      <c r="H3">
        <f t="shared" ref="H3:H7" si="1">D3/SQRT(889)</f>
        <v>9.4723509271478533E-4</v>
      </c>
    </row>
    <row r="4" spans="1:8" x14ac:dyDescent="0.35">
      <c r="A4" s="2" t="s">
        <v>8</v>
      </c>
      <c r="B4" s="3">
        <v>-5.399773579091309E-2</v>
      </c>
      <c r="C4" s="3">
        <v>-5.4520950205325665E-2</v>
      </c>
      <c r="D4" s="3">
        <v>3.2102907179652307E-2</v>
      </c>
      <c r="E4" s="3">
        <v>1.6820201201322451</v>
      </c>
      <c r="F4" s="4">
        <v>9.3189323379135658E-2</v>
      </c>
      <c r="G4" s="11" t="str">
        <f t="shared" si="0"/>
        <v>*</v>
      </c>
      <c r="H4">
        <f t="shared" si="1"/>
        <v>1.076696949479479E-3</v>
      </c>
    </row>
    <row r="5" spans="1:8" x14ac:dyDescent="0.35">
      <c r="A5" s="2" t="s">
        <v>9</v>
      </c>
      <c r="B5" s="5">
        <v>0.26523515683121668</v>
      </c>
      <c r="C5" s="5">
        <v>0.26561308317155674</v>
      </c>
      <c r="D5" s="5">
        <v>3.2751791868483981E-2</v>
      </c>
      <c r="E5" s="5">
        <v>8.0983403258141777</v>
      </c>
      <c r="F5" s="7">
        <v>5.6843418860808015E-14</v>
      </c>
      <c r="G5" s="11" t="str">
        <f t="shared" si="0"/>
        <v>***</v>
      </c>
      <c r="H5">
        <f t="shared" si="1"/>
        <v>1.0984598434479052E-3</v>
      </c>
    </row>
    <row r="6" spans="1:8" x14ac:dyDescent="0.35">
      <c r="A6" s="2" t="s">
        <v>10</v>
      </c>
      <c r="B6" s="3">
        <v>4.121467943396636E-2</v>
      </c>
      <c r="C6" s="3">
        <v>3.8993204063174594E-2</v>
      </c>
      <c r="D6" s="3">
        <v>3.800849162485951E-2</v>
      </c>
      <c r="E6" s="3">
        <v>1.084354513216458</v>
      </c>
      <c r="F6" s="4">
        <v>0.27873019021370737</v>
      </c>
      <c r="G6" s="11" t="str">
        <f t="shared" si="0"/>
        <v>Not Significant</v>
      </c>
      <c r="H6">
        <f t="shared" si="1"/>
        <v>1.2747638946774599E-3</v>
      </c>
    </row>
    <row r="7" spans="1:8" x14ac:dyDescent="0.35">
      <c r="A7" s="2" t="s">
        <v>11</v>
      </c>
      <c r="B7" s="5">
        <v>-3.8474636948767744E-3</v>
      </c>
      <c r="C7" s="5">
        <v>-1.5172806093514681E-3</v>
      </c>
      <c r="D7" s="5">
        <v>3.5155025304762152E-2</v>
      </c>
      <c r="E7" s="5">
        <v>0.10944277984506502</v>
      </c>
      <c r="F7" s="6">
        <v>0.91289521125821693</v>
      </c>
      <c r="G7" s="11" t="str">
        <f t="shared" si="0"/>
        <v>Not Significant</v>
      </c>
      <c r="H7">
        <f t="shared" si="1"/>
        <v>1.1790617059286919E-3</v>
      </c>
    </row>
    <row r="9" spans="1:8" x14ac:dyDescent="0.35">
      <c r="A9" s="10" t="s">
        <v>18</v>
      </c>
    </row>
    <row r="10" spans="1:8" x14ac:dyDescent="0.35">
      <c r="A10" s="10" t="s">
        <v>21</v>
      </c>
      <c r="B10">
        <f>(B5*B7)/(SQRT(((B7^2)*(H5^2))+((B5^2)*(H7^2))))</f>
        <v>-3.2628592586464711</v>
      </c>
      <c r="C10" t="s">
        <v>23</v>
      </c>
      <c r="D10" t="str">
        <f>IF(ABS(B10)&lt;B11,"Gagal Intervernsi","Sukses Intervensi")</f>
        <v>Sukses Intervensi</v>
      </c>
    </row>
    <row r="11" spans="1:8" x14ac:dyDescent="0.35">
      <c r="A11" t="s">
        <v>22</v>
      </c>
      <c r="B11">
        <f>TINV(0.05,(889-9))</f>
        <v>1.9626633958103448</v>
      </c>
    </row>
    <row r="12" spans="1:8" x14ac:dyDescent="0.35">
      <c r="A12" t="s">
        <v>19</v>
      </c>
    </row>
    <row r="13" spans="1:8" x14ac:dyDescent="0.35">
      <c r="A13" t="s">
        <v>21</v>
      </c>
      <c r="B13">
        <f>(B3*B2)/(SQRT(((B2^2)*(H3^2))+((B3^2)*(H2^2))))</f>
        <v>8.0601316405935783</v>
      </c>
      <c r="C13" t="s">
        <v>23</v>
      </c>
      <c r="D13" t="str">
        <f>IF(ABS(B13)&lt;B14,"Gagal Intervernsi","Sukses Intervensi")</f>
        <v>Sukses Intervensi</v>
      </c>
    </row>
    <row r="14" spans="1:8" x14ac:dyDescent="0.35">
      <c r="A14" t="s">
        <v>22</v>
      </c>
      <c r="B14">
        <f>TINV(0.05,(889-9))</f>
        <v>1.9626633958103448</v>
      </c>
    </row>
    <row r="15" spans="1:8" x14ac:dyDescent="0.35">
      <c r="A15" t="s">
        <v>20</v>
      </c>
    </row>
    <row r="16" spans="1:8" x14ac:dyDescent="0.35">
      <c r="A16" t="s">
        <v>21</v>
      </c>
      <c r="B16">
        <f>(B6*B2)/(SQRT(((B2^2)*(H6^2))+((B6^2)*(H2^2))))</f>
        <v>8.2430910496710883</v>
      </c>
      <c r="C16" t="s">
        <v>23</v>
      </c>
      <c r="D16" t="str">
        <f>IF(ABS(B16)&lt;B17,"Gagal Intervernsi","Sukses Intervensi")</f>
        <v>Sukses Intervensi</v>
      </c>
    </row>
    <row r="17" spans="1:2" x14ac:dyDescent="0.35">
      <c r="A17" t="s">
        <v>22</v>
      </c>
      <c r="B17">
        <f>TINV(0.05,(889-9))</f>
        <v>1.9626633958103448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Control Variables</vt:lpstr>
      <vt:lpstr>Without Control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2024-08-05T12:48:02Z</dcterms:created>
  <dcterms:modified xsi:type="dcterms:W3CDTF">2024-08-07T15:18:15Z</dcterms:modified>
</cp:coreProperties>
</file>